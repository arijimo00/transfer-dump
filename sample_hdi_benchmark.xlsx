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enchma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HDI" displayName="tHDI" ref="A1:E23" headerRowCount="1">
  <autoFilter ref="A1:E23"/>
  <tableColumns count="5">
    <tableColumn id="1" name="Location"/>
    <tableColumn id="2" name="Role"/>
    <tableColumn id="3" name="HDI"/>
    <tableColumn id="4" name="Data_Pop"/>
    <tableColumn id="5" name="Talent_Poo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Location</t>
        </is>
      </c>
      <c r="B1" s="1" t="inlineStr">
        <is>
          <t>Role</t>
        </is>
      </c>
      <c r="C1" s="1" t="inlineStr">
        <is>
          <t>HDI</t>
        </is>
      </c>
      <c r="D1" s="1" t="inlineStr">
        <is>
          <t>Data_Pop</t>
        </is>
      </c>
      <c r="E1" s="1" t="inlineStr">
        <is>
          <t>Talent_Pool</t>
        </is>
      </c>
    </row>
    <row r="2">
      <c r="A2" t="inlineStr">
        <is>
          <t>Bengaluru</t>
        </is>
      </c>
      <c r="B2" t="inlineStr">
        <is>
          <t>Software Engineer</t>
        </is>
      </c>
      <c r="C2" t="n">
        <v>68</v>
      </c>
      <c r="D2" t="n">
        <v>120</v>
      </c>
      <c r="E2" t="n">
        <v>5000</v>
      </c>
    </row>
    <row r="3">
      <c r="A3" t="inlineStr">
        <is>
          <t>Bengaluru</t>
        </is>
      </c>
      <c r="B3" t="inlineStr">
        <is>
          <t>Data Scientist</t>
        </is>
      </c>
      <c r="C3" t="n">
        <v>74</v>
      </c>
      <c r="D3" t="n">
        <v>80</v>
      </c>
      <c r="E3" t="n">
        <v>1800</v>
      </c>
    </row>
    <row r="4">
      <c r="A4" t="inlineStr">
        <is>
          <t>Bengaluru</t>
        </is>
      </c>
      <c r="B4" t="inlineStr">
        <is>
          <t>Product Manager</t>
        </is>
      </c>
      <c r="C4" t="n">
        <v>77</v>
      </c>
      <c r="D4" t="n">
        <v>60</v>
      </c>
      <c r="E4" t="n">
        <v>1200</v>
      </c>
    </row>
    <row r="5">
      <c r="A5" t="inlineStr">
        <is>
          <t>Bengaluru</t>
        </is>
      </c>
      <c r="B5" t="inlineStr">
        <is>
          <t>Designer</t>
        </is>
      </c>
      <c r="C5" t="n">
        <v>65</v>
      </c>
      <c r="D5" t="n">
        <v>40</v>
      </c>
      <c r="E5" t="n">
        <v>900</v>
      </c>
    </row>
    <row r="6">
      <c r="A6" t="inlineStr">
        <is>
          <t>Hyderabad</t>
        </is>
      </c>
      <c r="B6" t="inlineStr">
        <is>
          <t>Software Engineer</t>
        </is>
      </c>
      <c r="C6" t="n">
        <v>64</v>
      </c>
      <c r="D6" t="n">
        <v>110</v>
      </c>
      <c r="E6" t="n">
        <v>4200</v>
      </c>
    </row>
    <row r="7">
      <c r="A7" t="inlineStr">
        <is>
          <t>Hyderabad</t>
        </is>
      </c>
      <c r="B7" t="inlineStr">
        <is>
          <t>Data Scientist</t>
        </is>
      </c>
      <c r="C7" t="n">
        <v>72</v>
      </c>
      <c r="D7" t="n">
        <v>70</v>
      </c>
      <c r="E7" t="n">
        <v>1500</v>
      </c>
    </row>
    <row r="8">
      <c r="A8" t="inlineStr">
        <is>
          <t>Hyderabad</t>
        </is>
      </c>
      <c r="B8" t="inlineStr">
        <is>
          <t>Product Manager</t>
        </is>
      </c>
      <c r="C8" t="n">
        <v>79</v>
      </c>
      <c r="D8" t="n">
        <v>45</v>
      </c>
      <c r="E8" t="n">
        <v>900</v>
      </c>
    </row>
    <row r="9">
      <c r="A9" t="inlineStr">
        <is>
          <t>Hyderabad</t>
        </is>
      </c>
      <c r="B9" t="inlineStr">
        <is>
          <t>Designer</t>
        </is>
      </c>
      <c r="C9" t="n">
        <v>63</v>
      </c>
      <c r="D9" t="n">
        <v>30</v>
      </c>
      <c r="E9" t="n">
        <v>700</v>
      </c>
    </row>
    <row r="10">
      <c r="A10" t="inlineStr">
        <is>
          <t>Pune</t>
        </is>
      </c>
      <c r="B10" t="inlineStr">
        <is>
          <t>Software Engineer</t>
        </is>
      </c>
      <c r="C10" t="n">
        <v>62</v>
      </c>
      <c r="D10" t="n">
        <v>90</v>
      </c>
      <c r="E10" t="n">
        <v>3200</v>
      </c>
    </row>
    <row r="11">
      <c r="A11" t="inlineStr">
        <is>
          <t>Pune</t>
        </is>
      </c>
      <c r="B11" t="inlineStr">
        <is>
          <t>Data Scientist</t>
        </is>
      </c>
      <c r="C11" t="n">
        <v>70</v>
      </c>
      <c r="D11" t="n">
        <v>55</v>
      </c>
      <c r="E11" t="n">
        <v>1200</v>
      </c>
    </row>
    <row r="12">
      <c r="A12" t="inlineStr">
        <is>
          <t>Pune</t>
        </is>
      </c>
      <c r="B12" t="inlineStr">
        <is>
          <t>Product Manager</t>
        </is>
      </c>
      <c r="C12" t="n">
        <v>78</v>
      </c>
      <c r="D12" t="n">
        <v>30</v>
      </c>
      <c r="E12" t="n">
        <v>650</v>
      </c>
    </row>
    <row r="13">
      <c r="A13" t="inlineStr">
        <is>
          <t>Pune</t>
        </is>
      </c>
      <c r="B13" t="inlineStr">
        <is>
          <t>Designer</t>
        </is>
      </c>
      <c r="C13" t="n">
        <v>60</v>
      </c>
      <c r="D13" t="n">
        <v>20</v>
      </c>
      <c r="E13" t="n">
        <v>500</v>
      </c>
    </row>
    <row r="14">
      <c r="A14" t="inlineStr">
        <is>
          <t>Mumbai</t>
        </is>
      </c>
      <c r="B14" t="inlineStr">
        <is>
          <t>Software Engineer</t>
        </is>
      </c>
      <c r="C14" t="n">
        <v>71</v>
      </c>
      <c r="D14" t="n">
        <v>95</v>
      </c>
      <c r="E14" t="n">
        <v>2600</v>
      </c>
    </row>
    <row r="15">
      <c r="A15" t="inlineStr">
        <is>
          <t>Mumbai</t>
        </is>
      </c>
      <c r="B15" t="inlineStr">
        <is>
          <t>Data Scientist</t>
        </is>
      </c>
      <c r="C15" t="n">
        <v>76</v>
      </c>
      <c r="D15" t="n">
        <v>60</v>
      </c>
      <c r="E15" t="n">
        <v>1400</v>
      </c>
    </row>
    <row r="16">
      <c r="A16" t="inlineStr">
        <is>
          <t>Mumbai</t>
        </is>
      </c>
      <c r="B16" t="inlineStr">
        <is>
          <t>Product Manager</t>
        </is>
      </c>
      <c r="C16" t="n">
        <v>82</v>
      </c>
      <c r="D16" t="n">
        <v>40</v>
      </c>
      <c r="E16" t="n">
        <v>1000</v>
      </c>
    </row>
    <row r="17">
      <c r="A17" t="inlineStr">
        <is>
          <t>Delhi NCR</t>
        </is>
      </c>
      <c r="B17" t="inlineStr">
        <is>
          <t>Software Engineer</t>
        </is>
      </c>
      <c r="C17" t="n">
        <v>73</v>
      </c>
      <c r="D17" t="n">
        <v>85</v>
      </c>
      <c r="E17" t="n">
        <v>2400</v>
      </c>
    </row>
    <row r="18">
      <c r="A18" t="inlineStr">
        <is>
          <t>Delhi NCR</t>
        </is>
      </c>
      <c r="B18" t="inlineStr">
        <is>
          <t>Data Scientist</t>
        </is>
      </c>
      <c r="C18" t="n">
        <v>78</v>
      </c>
      <c r="D18" t="n">
        <v>50</v>
      </c>
      <c r="E18" t="n">
        <v>1100</v>
      </c>
    </row>
    <row r="19">
      <c r="A19" t="inlineStr">
        <is>
          <t>Delhi NCR</t>
        </is>
      </c>
      <c r="B19" t="inlineStr">
        <is>
          <t>Product Manager</t>
        </is>
      </c>
      <c r="C19" t="n">
        <v>84</v>
      </c>
      <c r="D19" t="n">
        <v>35</v>
      </c>
      <c r="E19" t="n">
        <v>900</v>
      </c>
    </row>
    <row r="20">
      <c r="A20" t="inlineStr">
        <is>
          <t>Delhi NCR</t>
        </is>
      </c>
      <c r="B20" t="inlineStr">
        <is>
          <t>Designer</t>
        </is>
      </c>
      <c r="C20" t="n">
        <v>69</v>
      </c>
      <c r="D20" t="n">
        <v>25</v>
      </c>
      <c r="E20" t="n">
        <v>650</v>
      </c>
    </row>
    <row r="21">
      <c r="A21" t="inlineStr">
        <is>
          <t>Chennai</t>
        </is>
      </c>
      <c r="B21" t="inlineStr">
        <is>
          <t>Software Engineer</t>
        </is>
      </c>
      <c r="C21" t="n">
        <v>61</v>
      </c>
      <c r="D21" t="n">
        <v>70</v>
      </c>
      <c r="E21" t="n">
        <v>2100</v>
      </c>
    </row>
    <row r="22">
      <c r="A22" t="inlineStr">
        <is>
          <t>Chennai</t>
        </is>
      </c>
      <c r="B22" t="inlineStr">
        <is>
          <t>Product Manager</t>
        </is>
      </c>
      <c r="C22" t="n">
        <v>75</v>
      </c>
      <c r="D22" t="n">
        <v>25</v>
      </c>
      <c r="E22" t="n">
        <v>500</v>
      </c>
    </row>
    <row r="23">
      <c r="A23" t="inlineStr">
        <is>
          <t>Chennai</t>
        </is>
      </c>
      <c r="B23" t="inlineStr">
        <is>
          <t>Designer</t>
        </is>
      </c>
      <c r="C23" t="n">
        <v>58</v>
      </c>
      <c r="D23" t="n">
        <v>15</v>
      </c>
      <c r="E23" t="n">
        <v>450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0" customWidth="1" min="3" max="3"/>
    <col width="26" customWidth="1" min="4" max="4"/>
    <col width="16" customWidth="1" min="5" max="5"/>
    <col width="16" customWidth="1" min="6" max="6"/>
  </cols>
  <sheetData>
    <row r="1">
      <c r="A1" s="2" t="inlineStr">
        <is>
          <t>Hiring Difficulty Benchmark (Sample Output)</t>
        </is>
      </c>
    </row>
    <row r="3">
      <c r="A3" s="3" t="inlineStr">
        <is>
          <t>Output 1: Overall Average HDI</t>
        </is>
      </c>
    </row>
    <row r="4">
      <c r="A4" t="inlineStr">
        <is>
          <t>Simple average (all rows)</t>
        </is>
      </c>
      <c r="B4">
        <f>AVERAGE(tHDI[HDI])</f>
        <v/>
      </c>
    </row>
    <row r="5">
      <c r="A5" t="inlineStr">
        <is>
          <t>Weighted average by Data_Pop</t>
        </is>
      </c>
      <c r="B5">
        <f>SUMPRODUCT(tHDI[HDI],tHDI[Data_Pop])/SUM(tHDI[Data_Pop])</f>
        <v/>
      </c>
    </row>
    <row r="7">
      <c r="A7" s="3" t="inlineStr">
        <is>
          <t>Role Summary (used to pick Highest Confidence Role)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1" t="inlineStr">
        <is>
          <t>Role</t>
        </is>
      </c>
      <c r="B9" s="1" t="inlineStr">
        <is>
          <t>Total_Data_Pop</t>
        </is>
      </c>
      <c r="C9" s="1" t="inlineStr">
        <is>
          <t>Total_Talent_Pool</t>
        </is>
      </c>
      <c r="D9" s="1" t="inlineStr">
        <is>
          <t>RankKey (Pop then Talent)</t>
        </is>
      </c>
    </row>
    <row r="10">
      <c r="A10" t="inlineStr">
        <is>
          <t>Software Engineer</t>
        </is>
      </c>
      <c r="B10">
        <f>SUMIFS(tHDI[Data_Pop],tHDI[Role],A10)</f>
        <v/>
      </c>
      <c r="C10">
        <f>SUMIFS(tHDI[Talent_Pool],tHDI[Role],A10)</f>
        <v/>
      </c>
      <c r="D10">
        <f>B10*1000000000+C10</f>
        <v/>
      </c>
    </row>
    <row r="11">
      <c r="A11" t="inlineStr">
        <is>
          <t>Data Scientist</t>
        </is>
      </c>
      <c r="B11">
        <f>SUMIFS(tHDI[Data_Pop],tHDI[Role],A11)</f>
        <v/>
      </c>
      <c r="C11">
        <f>SUMIFS(tHDI[Talent_Pool],tHDI[Role],A11)</f>
        <v/>
      </c>
      <c r="D11">
        <f>B11*1000000000+C11</f>
        <v/>
      </c>
    </row>
    <row r="12">
      <c r="A12" t="inlineStr">
        <is>
          <t>Product Manager</t>
        </is>
      </c>
      <c r="B12">
        <f>SUMIFS(tHDI[Data_Pop],tHDI[Role],A12)</f>
        <v/>
      </c>
      <c r="C12">
        <f>SUMIFS(tHDI[Talent_Pool],tHDI[Role],A12)</f>
        <v/>
      </c>
      <c r="D12">
        <f>B12*1000000000+C12</f>
        <v/>
      </c>
    </row>
    <row r="13">
      <c r="A13" t="inlineStr">
        <is>
          <t>Designer</t>
        </is>
      </c>
      <c r="B13">
        <f>SUMIFS(tHDI[Data_Pop],tHDI[Role],A13)</f>
        <v/>
      </c>
      <c r="C13">
        <f>SUMIFS(tHDI[Talent_Pool],tHDI[Role],A13)</f>
        <v/>
      </c>
      <c r="D13">
        <f>B13*1000000000+C13</f>
        <v/>
      </c>
    </row>
    <row r="15">
      <c r="A15" s="3" t="inlineStr">
        <is>
          <t>Output 2: Highest Confidence Role (max Total_Data_Pop; tie → max Total_Talent_Pool)</t>
        </is>
      </c>
    </row>
    <row r="16">
      <c r="A16" t="inlineStr">
        <is>
          <t>SelectedRole</t>
        </is>
      </c>
      <c r="B16">
        <f>XLOOKUP(MAX($D$10:$D$13),$D$10:$D$13,$A$10:$A$13)</f>
        <v/>
      </c>
    </row>
    <row r="18">
      <c r="A18" s="3" t="inlineStr">
        <is>
          <t>Output 3: HDI for SelectedRole across Locations</t>
        </is>
      </c>
    </row>
    <row r="20">
      <c r="A20" s="1" t="inlineStr">
        <is>
          <t>Location</t>
        </is>
      </c>
      <c r="B20" s="1" t="inlineStr">
        <is>
          <t>HDI (SelectedRole)</t>
        </is>
      </c>
    </row>
    <row r="21">
      <c r="A21" t="inlineStr">
        <is>
          <t>Bengaluru</t>
        </is>
      </c>
      <c r="B21">
        <f>IFERROR(AVERAGEIFS(tHDI[HDI],tHDI[Role],$B$16,tHDI[Location],A21),"")</f>
        <v/>
      </c>
    </row>
    <row r="22">
      <c r="A22" t="inlineStr">
        <is>
          <t>Hyderabad</t>
        </is>
      </c>
      <c r="B22">
        <f>IFERROR(AVERAGEIFS(tHDI[HDI],tHDI[Role],$B$16,tHDI[Location],A22),"")</f>
        <v/>
      </c>
    </row>
    <row r="23">
      <c r="A23" t="inlineStr">
        <is>
          <t>Pune</t>
        </is>
      </c>
      <c r="B23">
        <f>IFERROR(AVERAGEIFS(tHDI[HDI],tHDI[Role],$B$16,tHDI[Location],A23),"")</f>
        <v/>
      </c>
    </row>
    <row r="24">
      <c r="A24" t="inlineStr">
        <is>
          <t>Mumbai</t>
        </is>
      </c>
      <c r="B24">
        <f>IFERROR(AVERAGEIFS(tHDI[HDI],tHDI[Role],$B$16,tHDI[Location],A24),"")</f>
        <v/>
      </c>
    </row>
    <row r="25">
      <c r="A25" t="inlineStr">
        <is>
          <t>Delhi NCR</t>
        </is>
      </c>
      <c r="B25">
        <f>IFERROR(AVERAGEIFS(tHDI[HDI],tHDI[Role],$B$16,tHDI[Location],A25),"")</f>
        <v/>
      </c>
    </row>
    <row r="26">
      <c r="A26" t="inlineStr">
        <is>
          <t>Chennai</t>
        </is>
      </c>
      <c r="B26">
        <f>IFERROR(AVERAGEIFS(tHDI[HDI],tHDI[Role],$B$16,tHDI[Location],A26),"")</f>
        <v/>
      </c>
    </row>
    <row r="28">
      <c r="A28" t="inlineStr">
        <is>
          <t>SelectedRole average HDI (across all locations with data)</t>
        </is>
      </c>
      <c r="B28">
        <f>AVERAGEIFS(tHDI[HDI],tHDI[Role],$B$16)</f>
        <v/>
      </c>
    </row>
    <row r="30">
      <c r="A30" s="3" t="inlineStr">
        <is>
          <t>Notes:</t>
        </is>
      </c>
    </row>
    <row r="31">
      <c r="A31" t="inlineStr">
        <is>
          <t>• Data is in table tHDI on the Data sheet.</t>
        </is>
      </c>
    </row>
    <row r="32">
      <c r="A32" t="inlineStr">
        <is>
          <t>• RankKey = Total_Data_Pop (primary) + Total_Talent_Pool (tie-break).</t>
        </is>
      </c>
    </row>
    <row r="33">
      <c r="A33" t="inlineStr">
        <is>
          <t>• If a location-role is missing, HDI cell is left blank.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2026-02-13T10:03:51Z</dcterms:created>
  <dcterms:modified xmlns:dcterms="http://purl.org/dc/terms/" xmlns:xsi="http://www.w3.org/2001/XMLSchema-instance" xsi:type="dcterms:W3CDTF">2026-02-13T10:03:51Z</dcterms:modified>
</cp:coreProperties>
</file>